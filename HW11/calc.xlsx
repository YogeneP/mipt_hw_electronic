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425\Documents\!my\mipt\mipt_hw_elecronics\HW11\"/>
    </mc:Choice>
  </mc:AlternateContent>
  <xr:revisionPtr revIDLastSave="0" documentId="13_ncr:1_{742FD234-1B6A-4333-BD34-F5D54FDD17E6}" xr6:coauthVersionLast="45" xr6:coauthVersionMax="45" xr10:uidLastSave="{00000000-0000-0000-0000-000000000000}"/>
  <bookViews>
    <workbookView xWindow="-120" yWindow="-120" windowWidth="29040" windowHeight="15840" xr2:uid="{9A48BF16-3805-4D65-9FE5-237BD45F7EF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1" l="1"/>
  <c r="I4" i="1" s="1"/>
  <c r="J4" i="1" s="1"/>
  <c r="G2" i="1"/>
  <c r="I2" i="1" s="1"/>
  <c r="J2" i="1" s="1"/>
  <c r="G3" i="1"/>
  <c r="K3" i="1" s="1"/>
  <c r="M3" i="1" s="1"/>
  <c r="G5" i="1"/>
  <c r="K5" i="1" s="1"/>
  <c r="M5" i="1" s="1"/>
  <c r="K4" i="1" l="1"/>
  <c r="M4" i="1" s="1"/>
  <c r="K2" i="1"/>
  <c r="I3" i="1"/>
  <c r="J3" i="1" s="1"/>
  <c r="I5" i="1"/>
  <c r="J5" i="1" s="1"/>
  <c r="L4" i="1" l="1"/>
  <c r="L2" i="1"/>
  <c r="M2" i="1"/>
  <c r="L3" i="1"/>
  <c r="L5" i="1"/>
</calcChain>
</file>

<file path=xl/sharedStrings.xml><?xml version="1.0" encoding="utf-8"?>
<sst xmlns="http://schemas.openxmlformats.org/spreadsheetml/2006/main" count="12" uniqueCount="12">
  <si>
    <t>Vin</t>
  </si>
  <si>
    <t>Vout</t>
  </si>
  <si>
    <t>Iout</t>
  </si>
  <si>
    <t>ton/toff</t>
  </si>
  <si>
    <t>Vsat</t>
  </si>
  <si>
    <t>VF</t>
  </si>
  <si>
    <t>Ilpk=Ipksw</t>
  </si>
  <si>
    <t>Lmin</t>
  </si>
  <si>
    <t>F</t>
  </si>
  <si>
    <t>toff</t>
  </si>
  <si>
    <t>ton</t>
  </si>
  <si>
    <t>Rsc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</si>
</sst>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7C35-24BD-40E7-A5AC-F9CE0AB6ACB8}">
  <dimension ref="B1:M5"/>
  <sheetViews>
    <sheetView tabSelected="1" workbookViewId="0">
      <selection activeCell="K2" sqref="K2"/>
    </sheetView>
  </sheetViews>
  <sheetFormatPr defaultRowHeight="15" x14ac:dyDescent="0.25"/>
  <cols>
    <col min="9" max="9" width="13.42578125" customWidth="1"/>
    <col min="10" max="10" width="11.5703125" customWidth="1"/>
    <col min="11" max="11" width="11" bestFit="1" customWidth="1"/>
    <col min="12" max="12" width="12" bestFit="1" customWidth="1"/>
  </cols>
  <sheetData>
    <row r="1" spans="2:13" x14ac:dyDescent="0.25">
      <c r="B1" t="s">
        <v>0</v>
      </c>
      <c r="C1" t="s">
        <v>1</v>
      </c>
      <c r="D1" t="s">
        <v>2</v>
      </c>
      <c r="E1" t="s">
        <v>5</v>
      </c>
      <c r="F1" t="s">
        <v>4</v>
      </c>
      <c r="G1" t="s">
        <v>3</v>
      </c>
      <c r="H1" t="s">
        <v>8</v>
      </c>
      <c r="I1" t="s">
        <v>10</v>
      </c>
      <c r="J1" t="s">
        <v>9</v>
      </c>
      <c r="K1" t="s">
        <v>6</v>
      </c>
      <c r="L1" t="s">
        <v>7</v>
      </c>
      <c r="M1" t="s">
        <v>11</v>
      </c>
    </row>
    <row r="2" spans="2:13" x14ac:dyDescent="0.25">
      <c r="B2">
        <v>5</v>
      </c>
      <c r="C2">
        <v>5</v>
      </c>
      <c r="D2">
        <v>1</v>
      </c>
      <c r="E2">
        <v>0.2</v>
      </c>
      <c r="F2">
        <v>0.7</v>
      </c>
      <c r="G2">
        <f>(C2+E2-B2)/(B2-F2)</f>
        <v>4.6511627906976785E-2</v>
      </c>
      <c r="H2">
        <v>24000</v>
      </c>
      <c r="I2" s="1">
        <f>G2/H2</f>
        <v>1.9379844961240327E-6</v>
      </c>
      <c r="J2" s="1">
        <f>I2/G2</f>
        <v>4.1666666666666665E-5</v>
      </c>
      <c r="K2">
        <f>2*D2*(G2+1)</f>
        <v>2.0930232558139537</v>
      </c>
      <c r="L2" s="1">
        <f>((B2-F2)/K2)*I2</f>
        <v>3.981481481481484E-6</v>
      </c>
      <c r="M2">
        <f>0.3/K2</f>
        <v>0.14333333333333331</v>
      </c>
    </row>
    <row r="3" spans="2:13" x14ac:dyDescent="0.25">
      <c r="B3">
        <v>5</v>
      </c>
      <c r="C3">
        <v>10</v>
      </c>
      <c r="D3">
        <v>1</v>
      </c>
      <c r="E3">
        <v>0.2</v>
      </c>
      <c r="F3">
        <v>0.7</v>
      </c>
      <c r="G3">
        <f>(C3+E3-B3)/(B3-F3)</f>
        <v>1.2093023255813953</v>
      </c>
      <c r="H3">
        <v>24000</v>
      </c>
      <c r="I3" s="1">
        <f>G3/H3</f>
        <v>5.0387596899224801E-5</v>
      </c>
      <c r="J3" s="1">
        <f>I3/G3</f>
        <v>4.1666666666666665E-5</v>
      </c>
      <c r="K3">
        <f>2*D3*(G3+1)</f>
        <v>4.4186046511627906</v>
      </c>
      <c r="L3" s="1">
        <f>((B3-F3)/K3)*I3</f>
        <v>4.9035087719298243E-5</v>
      </c>
      <c r="M3">
        <f>0.3/K3</f>
        <v>6.7894736842105258E-2</v>
      </c>
    </row>
    <row r="4" spans="2:13" x14ac:dyDescent="0.25">
      <c r="B4">
        <v>5</v>
      </c>
      <c r="C4">
        <v>15</v>
      </c>
      <c r="D4">
        <v>1</v>
      </c>
      <c r="E4">
        <v>0.2</v>
      </c>
      <c r="F4">
        <v>0.7</v>
      </c>
      <c r="G4">
        <f>(C4+E4-B4)/(B4-F4)</f>
        <v>2.3720930232558137</v>
      </c>
      <c r="H4">
        <v>24000</v>
      </c>
      <c r="I4" s="1">
        <f>G4/H4</f>
        <v>9.8837209302325569E-5</v>
      </c>
      <c r="J4" s="1">
        <f>I4/G4</f>
        <v>4.1666666666666665E-5</v>
      </c>
      <c r="K4">
        <f>2*D4*(G4+1)</f>
        <v>6.7441860465116275</v>
      </c>
      <c r="L4" s="1">
        <f>((B4-F4)/K4)*I4</f>
        <v>6.3017241379310335E-5</v>
      </c>
      <c r="M4">
        <f t="shared" ref="M4" si="0">0.3/K4</f>
        <v>4.4482758620689657E-2</v>
      </c>
    </row>
    <row r="5" spans="2:13" x14ac:dyDescent="0.25">
      <c r="B5">
        <v>5</v>
      </c>
      <c r="C5">
        <v>26</v>
      </c>
      <c r="D5">
        <v>1</v>
      </c>
      <c r="E5">
        <v>0.2</v>
      </c>
      <c r="F5">
        <v>0.7</v>
      </c>
      <c r="G5">
        <f>(C5+E5-B5)/(B5-F5)</f>
        <v>4.9302325581395348</v>
      </c>
      <c r="H5">
        <v>24000</v>
      </c>
      <c r="I5" s="1">
        <f>G5/H5</f>
        <v>2.0542635658914727E-4</v>
      </c>
      <c r="J5" s="1">
        <f>I5/G5</f>
        <v>4.1666666666666665E-5</v>
      </c>
      <c r="K5">
        <f>2*D5*(G5+1)</f>
        <v>11.86046511627907</v>
      </c>
      <c r="L5" s="1">
        <f>((B5-F5)/K5)*I5</f>
        <v>7.4477124183006528E-5</v>
      </c>
      <c r="M5">
        <f>0.3/K5</f>
        <v>2.5294117647058825E-2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Павлов Евгений Игоревич</dc:creator>
  <cp:lastModifiedBy>Павлов Евгений Игоревич</cp:lastModifiedBy>
  <dcterms:created xsi:type="dcterms:W3CDTF">2026-05-15T09:39:30Z</dcterms:created>
  <dcterms:modified xsi:type="dcterms:W3CDTF">2026-05-15T14:43:16Z</dcterms:modified>
</cp:coreProperties>
</file>